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NETSHOES - (JAN-26)" sheetId="1" r:id="rId4"/>
    <sheet name="SITE - (JAN-26)" sheetId="2" r:id="rId5"/>
    <sheet name="LOJA MISTERIOSA - (JAN-26)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<sst xmlns="http://schemas.openxmlformats.org/spreadsheetml/2006/main" uniqueCount="13">
  <si>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ACOMPANHAMENTO PERFORMANCE DIÁRIA » NETSHOES - (JAN-26)</t>
  </si>
  <si>
    <t>DATA</t>
  </si>
  <si>
    <t>PEDIDOS EFETUADOS</t>
  </si>
  <si>
    <t>PEDIDOS PAGOS</t>
  </si>
  <si>
    <t>PEDIDOS CANCELADOS</t>
  </si>
  <si>
    <t>TAXA DE EFETIVIDADE</t>
  </si>
  <si>
    <t>TARIFAS DE VENDA</t>
  </si>
  <si>
    <t>CUSTO COM FRETE</t>
  </si>
  <si>
    <t>TOTAL LÍQUIDO DO PEDIDO (APÓS TAXAS)</t>
  </si>
  <si>
    <t>NUMERO DE PEDIDOS</t>
  </si>
  <si>
    <t>TOTAIS</t>
  </si>
  <si>
    <t>ACOMPANHAMENTO PERFORMANCE DIÁRIA » SITE - (JAN-26)</t>
  </si>
  <si>
    <t>lixo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</si>
</sst>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0" workbookViewId="0" showGridLines="true" showRowColHeaders="1">
      <selection activeCell="A5" sqref="A5"/>
    </sheetView>
  </sheetViews>
  <sheetFormatPr defaultRowHeight="14.4" outlineLevelRow="0" outlineLevelCol="0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1">
        <v>46023.0</v>
      </c>
      <c r="B3">
        <v>1000.0</v>
      </c>
      <c r="C3">
        <f>B3-D3</f>
        <v>900</v>
      </c>
      <c r="D3">
        <v>100.0</v>
      </c>
      <c r="E3">
        <f>C3/B3</f>
        <v>0.9</v>
      </c>
      <c r="F3">
        <v>50.0</v>
      </c>
      <c r="G3">
        <v>20.0</v>
      </c>
      <c r="H3">
        <f>B3-(F3+G3)-D3</f>
        <v>830</v>
      </c>
      <c r="I3">
        <v>5</v>
      </c>
    </row>
    <row r="4" spans="1:9">
      <c r="A4" s="1">
        <v>46024.0</v>
      </c>
      <c r="B4">
        <v>2000.0</v>
      </c>
      <c r="C4">
        <f>B4-D4</f>
        <v>2000</v>
      </c>
      <c r="D4">
        <v>0.0</v>
      </c>
      <c r="E4">
        <f>C4/B4</f>
        <v>1</v>
      </c>
      <c r="F4">
        <v>100.0</v>
      </c>
      <c r="G4">
        <v>40.0</v>
      </c>
      <c r="H4">
        <f>B4-(F4+G4)-D4</f>
        <v>1860</v>
      </c>
      <c r="I4">
        <v>8</v>
      </c>
    </row>
    <row r="5" spans="1:9">
      <c r="A5" s="1">
        <v>46025.0</v>
      </c>
      <c r="B5">
        <v>1500.0</v>
      </c>
      <c r="C5">
        <f>B5-D5</f>
        <v>1000</v>
      </c>
      <c r="D5">
        <v>500.0</v>
      </c>
      <c r="E5">
        <f>C5/B5</f>
        <v>0.66666666666667</v>
      </c>
      <c r="F5">
        <v>75.0</v>
      </c>
      <c r="G5">
        <v>30.0</v>
      </c>
      <c r="H5">
        <f>B5-(F5+G5)-D5</f>
        <v>895</v>
      </c>
      <c r="I5">
        <v>6</v>
      </c>
    </row>
    <row r="6" spans="1:9">
      <c r="A6" t="s">
        <v>10</v>
      </c>
      <c r="B6">
        <f>SUM(B3:B5)</f>
        <v>4500</v>
      </c>
      <c r="C6">
        <f>SUM(C3:C5)</f>
        <v>3900</v>
      </c>
      <c r="D6">
        <f>SUM(D3:D5)</f>
        <v>600</v>
      </c>
      <c r="F6">
        <f>SUM(F3:F5)</f>
        <v>225</v>
      </c>
      <c r="G6">
        <f>SUM(G3:G5)</f>
        <v>90</v>
      </c>
      <c r="H6">
        <f>SUM(H3:H5)</f>
        <v>3585</v>
      </c>
      <c r="I6">
        <f>SUM(I3:I5)</f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A4" sqref="A4"/>
    </sheetView>
  </sheetViews>
  <sheetFormatPr defaultRowHeight="14.4" outlineLevelRow="0" outlineLevelCol="0"/>
  <sheetData>
    <row r="1" spans="1:9">
      <c r="A1" t="s">
        <v>11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1">
        <v>46023.0</v>
      </c>
      <c r="B3">
        <v>300.0</v>
      </c>
      <c r="C3">
        <f>B3-D3</f>
        <v>300</v>
      </c>
      <c r="D3">
        <v>0.0</v>
      </c>
      <c r="E3">
        <f>C3/B3</f>
        <v>1</v>
      </c>
      <c r="F3">
        <v>15.0</v>
      </c>
      <c r="G3">
        <v>5.0</v>
      </c>
      <c r="H3">
        <f>B3-(F3+G3)-D3</f>
        <v>280</v>
      </c>
      <c r="I3">
        <v>2</v>
      </c>
    </row>
    <row r="4" spans="1:9">
      <c r="A4" s="1">
        <v>46024.0</v>
      </c>
      <c r="B4">
        <v>400.0</v>
      </c>
      <c r="C4">
        <f>B4-D4</f>
        <v>300</v>
      </c>
      <c r="D4">
        <v>100.0</v>
      </c>
      <c r="E4">
        <f>C4/B4</f>
        <v>0.75</v>
      </c>
      <c r="F4">
        <v>20.0</v>
      </c>
      <c r="G4">
        <v>10.0</v>
      </c>
      <c r="H4">
        <f>B4-(F4+G4)-D4</f>
        <v>270</v>
      </c>
      <c r="I4">
        <v>3</v>
      </c>
    </row>
    <row r="5" spans="1:9">
      <c r="A5" t="s">
        <v>10</v>
      </c>
      <c r="B5">
        <f>SUM(B3:B4)</f>
        <v>700</v>
      </c>
      <c r="C5">
        <f>SUM(C3:C4)</f>
        <v>600</v>
      </c>
      <c r="D5">
        <f>SUM(D3:D4)</f>
        <v>100</v>
      </c>
      <c r="F5">
        <f>SUM(F3:F4)</f>
        <v>35</v>
      </c>
      <c r="G5">
        <f>SUM(G3:G4)</f>
        <v>15</v>
      </c>
      <c r="H5">
        <f>SUM(H3:H4)</f>
        <v>550</v>
      </c>
      <c r="I5">
        <f>SUM(I3:I4)</f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NETSHOES - (JAN-26)</vt:lpstr>
      <vt:lpstr>SITE - (JAN-26)</vt:lpstr>
      <vt:lpstr>LOJA MISTERIOSA - (JAN-26)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2026-08-03T17:43:14+00:00</dcterms:created>
  <dcterms:modified xsi:type="dcterms:W3CDTF">2026-08-03T17:43:14+00:00</dcterms:modified>
  <dc:title>Untitled Spreadsheet</dc:title>
  <dc:description/>
  <dc:subject/>
  <cp:keywords/>
  <cp:category/>
</cp:coreProperties>
</file>